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31d7acb02e493d6/Documents/pre_automatizado/img/"/>
    </mc:Choice>
  </mc:AlternateContent>
  <xr:revisionPtr revIDLastSave="57" documentId="11_AD4D361C20488DEA4E38A04EE4DD75125BDEDD92" xr6:coauthVersionLast="47" xr6:coauthVersionMax="47" xr10:uidLastSave="{12DE284C-13BE-4D94-9CE1-E2D7F2FD54A2}"/>
  <bookViews>
    <workbookView xWindow="-120" yWindow="-120" windowWidth="29040" windowHeight="15720" activeTab="1" xr2:uid="{00000000-000D-0000-FFFF-FFFF00000000}"/>
  </bookViews>
  <sheets>
    <sheet name="main" sheetId="1" r:id="rId1"/>
    <sheet name="data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C2" i="1"/>
  <c r="B2" i="1"/>
</calcChain>
</file>

<file path=xl/sharedStrings.xml><?xml version="1.0" encoding="utf-8"?>
<sst xmlns="http://schemas.openxmlformats.org/spreadsheetml/2006/main" count="16" uniqueCount="13">
  <si>
    <t>Matrícula</t>
  </si>
  <si>
    <t>Nome</t>
  </si>
  <si>
    <t>Data de Nascimento</t>
  </si>
  <si>
    <t>Ricardo Augusto de Souza</t>
  </si>
  <si>
    <t>Beatriz Helena Moreira</t>
  </si>
  <si>
    <t>Thiago Mendonça Lima</t>
  </si>
  <si>
    <t>Letícia Fernanda Gomes</t>
  </si>
  <si>
    <t>Marcos Vinícius Teixeira</t>
  </si>
  <si>
    <t>Camila Roberta Duarte</t>
  </si>
  <si>
    <t>André Luiz Cavalcante</t>
  </si>
  <si>
    <t>Juliana Paes de Oliveira</t>
  </si>
  <si>
    <t>Rodrigo Mendes Faria</t>
  </si>
  <si>
    <t>Vanessa Cristina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</si>
</sst>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4" sqref="A4"/>
    </sheetView>
  </sheetViews>
  <sheetFormatPr defaultRowHeight="15" x14ac:dyDescent="0.25"/>
  <cols>
    <col min="1" max="1" width="11.85546875" customWidth="1"/>
    <col min="2" max="2" width="21" customWidth="1"/>
    <col min="3" max="3" width="21.710937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1234567</v>
      </c>
      <c r="B2" t="str">
        <f>VLOOKUP(A2,database!$A$1:$C$11,2,0)</f>
        <v>Ricardo Augusto de Souza</v>
      </c>
      <c r="C2" s="1">
        <f>VLOOKUP(A2,database!$A$1:$C$11,3,0)</f>
        <v>46132</v>
      </c>
    </row>
    <row r="3" spans="1:3" x14ac:dyDescent="0.25">
      <c r="A3">
        <v>1234568</v>
      </c>
      <c r="B3" t="str">
        <f>VLOOKUP(A3,database!$A$1:$C$11,2,0)</f>
        <v>Beatriz Helena Moreira</v>
      </c>
      <c r="C3" s="1">
        <f>VLOOKUP(A3,database!$A$1:$C$11,3,0)</f>
        <v>20415</v>
      </c>
    </row>
    <row r="4" spans="1:3" x14ac:dyDescent="0.25">
      <c r="A4">
        <v>3</v>
      </c>
      <c r="B4" t="str">
        <f>VLOOKUP(A4,database!$A$1:$C$11,2,0)</f>
        <v>Thiago Mendonça Lima</v>
      </c>
      <c r="C4" s="1">
        <f>VLOOKUP(A4,database!$A$1:$C$11,3,0)</f>
        <v>36896</v>
      </c>
    </row>
    <row r="5" spans="1:3" x14ac:dyDescent="0.25">
      <c r="A5">
        <v>4</v>
      </c>
      <c r="B5" t="str">
        <f>VLOOKUP(A5,database!$A$1:$C$11,2,0)</f>
        <v>Letícia Fernanda Gomes</v>
      </c>
      <c r="C5" s="1">
        <f>VLOOKUP(A5,database!$A$1:$C$11,3,0)</f>
        <v>33815</v>
      </c>
    </row>
    <row r="6" spans="1:3" x14ac:dyDescent="0.25">
      <c r="A6">
        <v>5</v>
      </c>
      <c r="B6" t="str">
        <f>VLOOKUP(A6,database!$A$1:$C$11,2,0)</f>
        <v>Marcos Vinícius Teixeira</v>
      </c>
      <c r="C6" s="1">
        <f>VLOOKUP(A6,database!$A$1:$C$11,3,0)</f>
        <v>30943</v>
      </c>
    </row>
    <row r="7" spans="1:3" x14ac:dyDescent="0.25">
      <c r="A7">
        <v>6</v>
      </c>
      <c r="B7" t="str">
        <f>VLOOKUP(A7,database!$A$1:$C$11,2,0)</f>
        <v>Camila Roberta Duarte</v>
      </c>
      <c r="C7" s="1">
        <f>VLOOKUP(A7,database!$A$1:$C$11,3,0)</f>
        <v>36292</v>
      </c>
    </row>
    <row r="8" spans="1:3" x14ac:dyDescent="0.25">
      <c r="A8">
        <v>7</v>
      </c>
      <c r="B8" t="str">
        <f>VLOOKUP(A8,database!$A$1:$C$11,2,0)</f>
        <v>André Luiz Cavalcante</v>
      </c>
      <c r="C8" s="1">
        <f>VLOOKUP(A8,database!$A$1:$C$11,3,0)</f>
        <v>27817</v>
      </c>
    </row>
    <row r="9" spans="1:3" x14ac:dyDescent="0.25">
      <c r="A9">
        <v>8</v>
      </c>
      <c r="B9" t="str">
        <f>VLOOKUP(A9,database!$A$1:$C$11,2,0)</f>
        <v>Juliana Paes de Oliveira</v>
      </c>
      <c r="C9" s="1">
        <f>VLOOKUP(A9,database!$A$1:$C$11,3,0)</f>
        <v>34251</v>
      </c>
    </row>
    <row r="10" spans="1:3" x14ac:dyDescent="0.25">
      <c r="A10">
        <v>9</v>
      </c>
      <c r="B10" t="str">
        <f>VLOOKUP(A10,database!$A$1:$C$11,2,0)</f>
        <v>Rodrigo Mendes Faria</v>
      </c>
      <c r="C10" s="1">
        <f>VLOOKUP(A10,database!$A$1:$C$11,3,0)</f>
        <v>32680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32C4-97A6-431D-AE8E-1A0A24918861}">
  <dimension ref="A1:C11"/>
  <sheetViews>
    <sheetView tabSelected="1" workbookViewId="0">
      <selection activeCell="C4" sqref="C4"/>
    </sheetView>
  </sheetViews>
  <sheetFormatPr defaultRowHeight="15" x14ac:dyDescent="0.25"/>
  <cols>
    <col min="1" max="4" width="3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1234567</v>
      </c>
      <c r="B2" t="s">
        <v>3</v>
      </c>
      <c r="C2" s="1">
        <v>46132</v>
      </c>
    </row>
    <row r="3" spans="1:3" x14ac:dyDescent="0.25">
      <c r="A3">
        <v>1234568</v>
      </c>
      <c r="B3" t="s">
        <v>4</v>
      </c>
      <c r="C3" s="1">
        <v>20415</v>
      </c>
    </row>
    <row r="4" spans="1:3" x14ac:dyDescent="0.25">
      <c r="A4">
        <v>3</v>
      </c>
      <c r="B4" t="s">
        <v>5</v>
      </c>
      <c r="C4" s="1">
        <v>36896</v>
      </c>
    </row>
    <row r="5" spans="1:3" x14ac:dyDescent="0.25">
      <c r="A5">
        <v>4</v>
      </c>
      <c r="B5" t="s">
        <v>6</v>
      </c>
      <c r="C5" s="1">
        <v>33815</v>
      </c>
    </row>
    <row r="6" spans="1:3" x14ac:dyDescent="0.25">
      <c r="A6">
        <v>5</v>
      </c>
      <c r="B6" t="s">
        <v>7</v>
      </c>
      <c r="C6" s="1">
        <v>30943</v>
      </c>
    </row>
    <row r="7" spans="1:3" x14ac:dyDescent="0.25">
      <c r="A7">
        <v>6</v>
      </c>
      <c r="B7" t="s">
        <v>8</v>
      </c>
      <c r="C7" s="1">
        <v>36292</v>
      </c>
    </row>
    <row r="8" spans="1:3" x14ac:dyDescent="0.25">
      <c r="A8">
        <v>7</v>
      </c>
      <c r="B8" t="s">
        <v>9</v>
      </c>
      <c r="C8" s="1">
        <v>27817</v>
      </c>
    </row>
    <row r="9" spans="1:3" x14ac:dyDescent="0.25">
      <c r="A9">
        <v>8</v>
      </c>
      <c r="B9" t="s">
        <v>10</v>
      </c>
      <c r="C9" s="1">
        <v>34251</v>
      </c>
    </row>
    <row r="10" spans="1:3" x14ac:dyDescent="0.25">
      <c r="A10">
        <v>9</v>
      </c>
      <c r="B10" t="s">
        <v>11</v>
      </c>
      <c r="C10" s="1">
        <v>32680</v>
      </c>
    </row>
    <row r="11" spans="1:3" x14ac:dyDescent="0.25">
      <c r="A11">
        <v>10</v>
      </c>
      <c r="B11" t="s">
        <v>12</v>
      </c>
      <c r="C11" s="1">
        <v>35767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main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Neves Tries</dc:creator>
  <cp:lastModifiedBy>Pedro Henrique Neves Tries</cp:lastModifiedBy>
  <dcterms:created xsi:type="dcterms:W3CDTF">2015-06-05T18:19:34Z</dcterms:created>
  <dcterms:modified xsi:type="dcterms:W3CDTF">2026-05-05T02:19:37Z</dcterms:modified>
</cp:coreProperties>
</file>